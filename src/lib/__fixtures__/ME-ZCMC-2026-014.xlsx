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TEST PROTOCOL" sheetId="2" r:id="rId6"/>
    <sheet state="visible" name="ME WORKSHEET" sheetId="3" r:id="rId7"/>
  </sheets>
  <definedNames/>
  <calcPr/>
</workbook>
</file>

<file path=xl/sharedStrings.xml><?xml version="1.0" encoding="utf-8"?>
<sst xmlns="http://schemas.openxmlformats.org/spreadsheetml/2006/main" count="91" uniqueCount="76">
  <si>
    <t>ME-ZCMC-2026-014</t>
  </si>
  <si>
    <t>ZAMBOANGA CITY MEDICAL CENTER</t>
  </si>
  <si>
    <t>&lt;&gt;</t>
  </si>
  <si>
    <t xml:space="preserve">ZAMBOANGA CITY MEDICAL CENTER </t>
  </si>
  <si>
    <t xml:space="preserve">Department of Pathology and Laboratory Medicine </t>
  </si>
  <si>
    <t xml:space="preserve">         Department of Pathology and Laboratory Medicine</t>
  </si>
  <si>
    <t>Dr. D. Evangelista St. Sta. Catalina, 7000 Zamboanga City</t>
  </si>
  <si>
    <t>Measles IgM Serology Testing Protocol</t>
  </si>
  <si>
    <t xml:space="preserve">       Dr. D. Evangelista St. Sta. Catalina, 7000 Zamboanga City</t>
  </si>
  <si>
    <t xml:space="preserve">Vaccine Preventable Disease Referral Laboratory </t>
  </si>
  <si>
    <t>A</t>
  </si>
  <si>
    <t>Measles IgM Worksheet</t>
  </si>
  <si>
    <t xml:space="preserve">    Vaccine Preventable Diseases Referral Laboratory</t>
  </si>
  <si>
    <t>B</t>
  </si>
  <si>
    <t xml:space="preserve">Lot No.: </t>
  </si>
  <si>
    <t>C</t>
  </si>
  <si>
    <t>D</t>
  </si>
  <si>
    <t>Method: ELISA</t>
  </si>
  <si>
    <t>E</t>
  </si>
  <si>
    <t xml:space="preserve">                              </t>
  </si>
  <si>
    <t xml:space="preserve">Expiry Date: </t>
  </si>
  <si>
    <t>F</t>
  </si>
  <si>
    <t>G</t>
  </si>
  <si>
    <t>Name of Test: Anti-Measles IgM</t>
  </si>
  <si>
    <t xml:space="preserve">Room temp: </t>
  </si>
  <si>
    <t>H</t>
  </si>
  <si>
    <t>20-25°C</t>
  </si>
  <si>
    <t xml:space="preserve">           Time: </t>
  </si>
  <si>
    <t>Name of Kit: Euroimmun</t>
  </si>
  <si>
    <t xml:space="preserve">Start: </t>
  </si>
  <si>
    <t>PERFORMED BY:</t>
  </si>
  <si>
    <t>Room temp: 20-25°C</t>
  </si>
  <si>
    <t>A.REYES</t>
  </si>
  <si>
    <t xml:space="preserve">           Performed by: </t>
  </si>
  <si>
    <t xml:space="preserve">End: </t>
  </si>
  <si>
    <t xml:space="preserve">VALIDATED BY: </t>
  </si>
  <si>
    <t>M.PUTI</t>
  </si>
  <si>
    <t>DATE PERFORMED:</t>
  </si>
  <si>
    <t xml:space="preserve">           Validated by:</t>
  </si>
  <si>
    <t xml:space="preserve">TIME: </t>
  </si>
  <si>
    <t xml:space="preserve">Start Temp: </t>
  </si>
  <si>
    <t>23.7°C</t>
  </si>
  <si>
    <t xml:space="preserve">End Temp: </t>
  </si>
  <si>
    <t>23.4°C</t>
  </si>
  <si>
    <t xml:space="preserve">CAL </t>
  </si>
  <si>
    <t xml:space="preserve">Validation Criteria: </t>
  </si>
  <si>
    <t>CRITERIA</t>
  </si>
  <si>
    <t>RESULT</t>
  </si>
  <si>
    <t>VALID/INVALID</t>
  </si>
  <si>
    <t>Calibrator OD</t>
  </si>
  <si>
    <t>Lot no.:</t>
  </si>
  <si>
    <t>&gt;0.140</t>
  </si>
  <si>
    <t>E251106DO</t>
  </si>
  <si>
    <t>Expiry Date:</t>
  </si>
  <si>
    <t>PC</t>
  </si>
  <si>
    <t xml:space="preserve">Positive Control Ratio: </t>
  </si>
  <si>
    <t>1.9 - 4.9</t>
  </si>
  <si>
    <t>NC</t>
  </si>
  <si>
    <t xml:space="preserve">Negative Control Ratio: </t>
  </si>
  <si>
    <t>0-0.7</t>
  </si>
  <si>
    <t>IHC</t>
  </si>
  <si>
    <t>MR-2026-06-0066</t>
  </si>
  <si>
    <t xml:space="preserve">Interpretation of Result: </t>
  </si>
  <si>
    <t>RATIO</t>
  </si>
  <si>
    <t>MR-2026-06-0067</t>
  </si>
  <si>
    <t>&lt;0.8</t>
  </si>
  <si>
    <t>Negative</t>
  </si>
  <si>
    <t>≥0.8 - &lt;1.1</t>
  </si>
  <si>
    <t>Equivocal</t>
  </si>
  <si>
    <t>≥1.1</t>
  </si>
  <si>
    <t>Positive</t>
  </si>
  <si>
    <t>MR-2026-06-0068</t>
  </si>
  <si>
    <t xml:space="preserve">Well No.: </t>
  </si>
  <si>
    <t xml:space="preserve">LAB ID </t>
  </si>
  <si>
    <t>OD</t>
  </si>
  <si>
    <t xml:space="preserve">Remarks: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</si>
</sst>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m&quot;/&quot;d&quot;/&quot;yyyy"/>
    <numFmt numFmtId="166" formatCode="h:mm\ AM/PM"/>
    <numFmt numFmtId="167" formatCode="0.000"/>
    <numFmt numFmtId="168" formatCode="0.000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Tahoma"/>
    </font>
    <font>
      <b/>
      <sz val="10.0"/>
      <color theme="1"/>
      <name val="Tahoma"/>
    </font>
    <font>
      <color theme="1"/>
      <name val="Calibri"/>
      <scheme val="minor"/>
    </font>
    <font>
      <sz val="11.0"/>
      <color theme="1"/>
      <name val="Tahoma"/>
    </font>
    <font>
      <sz val="10.0"/>
      <color theme="1"/>
      <name val="Tahoma"/>
    </font>
    <font>
      <sz val="11.0"/>
      <color rgb="FF000000"/>
      <name val="Calibri"/>
    </font>
    <font>
      <sz val="10.0"/>
      <color theme="1"/>
      <name val="Arial"/>
    </font>
    <font>
      <sz val="12.0"/>
      <color theme="1"/>
      <name val="Calibri"/>
    </font>
    <font>
      <u/>
      <sz val="12.0"/>
      <color theme="1"/>
      <name val="Tahoma"/>
    </font>
    <font>
      <b/>
      <sz val="11.0"/>
      <color theme="1"/>
      <name val="Calibri"/>
    </font>
    <font>
      <sz val="12.0"/>
      <color theme="1"/>
      <name val="Tahoma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1" numFmtId="49" xfId="0" applyAlignment="1" applyFill="1" applyFont="1" applyNumberFormat="1">
      <alignment vertical="center"/>
    </xf>
    <xf borderId="0" fillId="0" fontId="3" numFmtId="0" xfId="0" applyAlignment="1" applyFont="1">
      <alignment horizontal="center" vertical="bottom"/>
    </xf>
    <xf borderId="0" fillId="2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vertical="top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left" readingOrder="1" vertical="center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center" wrapText="0"/>
    </xf>
    <xf borderId="0" fillId="2" fontId="7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left" readingOrder="1" shrinkToFit="0" vertical="center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left" readingOrder="1" shrinkToFit="0" vertical="center" wrapText="1"/>
    </xf>
    <xf borderId="0" fillId="0" fontId="2" numFmtId="0" xfId="0" applyAlignment="1" applyFont="1">
      <alignment horizontal="left" readingOrder="1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readingOrder="1" vertical="center"/>
    </xf>
    <xf borderId="0" fillId="0" fontId="8" numFmtId="0" xfId="0" applyAlignment="1" applyFont="1">
      <alignment horizontal="left" readingOrder="1" shrinkToFit="0" vertical="bottom" wrapText="1"/>
    </xf>
    <xf borderId="0" fillId="0" fontId="9" numFmtId="0" xfId="0" applyAlignment="1" applyFont="1">
      <alignment readingOrder="0" vertical="center"/>
    </xf>
    <xf borderId="0" fillId="0" fontId="5" numFmtId="164" xfId="0" applyAlignment="1" applyFont="1" applyNumberFormat="1">
      <alignment horizontal="left" vertical="center"/>
    </xf>
    <xf borderId="0" fillId="0" fontId="6" numFmtId="0" xfId="0" applyAlignment="1" applyFont="1">
      <alignment horizontal="left" readingOrder="1" vertical="center"/>
    </xf>
    <xf borderId="0" fillId="0" fontId="6" numFmtId="0" xfId="0" applyAlignment="1" applyFont="1">
      <alignment horizontal="left" readingOrder="1" shrinkToFit="0" vertical="center" wrapText="1"/>
    </xf>
    <xf borderId="0" fillId="0" fontId="5" numFmtId="18" xfId="0" applyAlignment="1" applyFont="1" applyNumberFormat="1">
      <alignment horizontal="left" readingOrder="1" shrinkToFit="0" vertical="center" wrapText="1"/>
    </xf>
    <xf borderId="0" fillId="0" fontId="6" numFmtId="164" xfId="0" applyAlignment="1" applyFont="1" applyNumberFormat="1">
      <alignment horizontal="left" vertical="center"/>
    </xf>
    <xf borderId="0" fillId="0" fontId="8" numFmtId="0" xfId="0" applyAlignment="1" applyFont="1">
      <alignment horizontal="left" readingOrder="1" shrinkToFit="0" vertical="top" wrapText="1"/>
    </xf>
    <xf borderId="0" fillId="0" fontId="6" numFmtId="0" xfId="0" applyAlignment="1" applyFont="1">
      <alignment horizontal="left" vertical="center"/>
    </xf>
    <xf borderId="0" fillId="0" fontId="6" numFmtId="18" xfId="0" applyAlignment="1" applyFont="1" applyNumberFormat="1">
      <alignment horizontal="left" readingOrder="1" shrinkToFit="0" vertical="center" wrapText="1"/>
    </xf>
    <xf borderId="0" fillId="0" fontId="10" numFmtId="20" xfId="0" applyAlignment="1" applyFont="1" applyNumberFormat="1">
      <alignment horizontal="left" readingOrder="1" shrinkToFit="0" vertical="top" wrapText="1"/>
    </xf>
    <xf borderId="0" fillId="0" fontId="8" numFmtId="21" xfId="0" applyAlignment="1" applyFont="1" applyNumberFormat="1">
      <alignment horizontal="left" readingOrder="1" shrinkToFit="0" vertical="top" wrapText="1"/>
    </xf>
    <xf borderId="0" fillId="2" fontId="11" numFmtId="0" xfId="0" applyAlignment="1" applyFont="1">
      <alignment vertical="center"/>
    </xf>
    <xf borderId="0" fillId="2" fontId="1" numFmtId="0" xfId="0" applyAlignment="1" applyFont="1">
      <alignment horizontal="left" readingOrder="0" vertical="top"/>
    </xf>
    <xf borderId="0" fillId="2" fontId="11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2" fontId="1" numFmtId="165" xfId="0" applyAlignment="1" applyFont="1" applyNumberFormat="1">
      <alignment horizontal="left" readingOrder="0" vertical="top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0" fillId="0" fontId="12" numFmtId="0" xfId="0" applyAlignment="1" applyFont="1">
      <alignment horizontal="left" readingOrder="1" shrinkToFit="0" vertical="center" wrapText="1"/>
    </xf>
    <xf borderId="0" fillId="2" fontId="1" numFmtId="166" xfId="0" applyAlignment="1" applyFont="1" applyNumberFormat="1">
      <alignment horizontal="left" readingOrder="0" vertical="top"/>
    </xf>
    <xf borderId="0" fillId="0" fontId="6" numFmtId="0" xfId="0" applyAlignment="1" applyFont="1">
      <alignment horizontal="left" readingOrder="1" vertical="bottom"/>
    </xf>
    <xf borderId="0" fillId="0" fontId="6" numFmtId="0" xfId="0" applyAlignment="1" applyFont="1">
      <alignment horizontal="left" readingOrder="1" shrinkToFit="0" vertical="bottom" wrapText="1"/>
    </xf>
    <xf borderId="1" fillId="0" fontId="1" numFmtId="0" xfId="0" applyAlignment="1" applyBorder="1" applyFont="1">
      <alignment horizontal="center" vertical="center"/>
    </xf>
    <xf borderId="0" fillId="0" fontId="6" numFmtId="167" xfId="0" applyAlignment="1" applyFont="1" applyNumberFormat="1">
      <alignment horizontal="left" readingOrder="1" shrinkToFit="0" vertical="center" wrapText="1"/>
    </xf>
    <xf borderId="0" fillId="0" fontId="6" numFmtId="0" xfId="0" applyAlignment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0" fillId="0" fontId="6" numFmtId="167" xfId="0" applyAlignment="1" applyFont="1" applyNumberFormat="1">
      <alignment horizontal="left"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2" numFmtId="167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0" fillId="0" fontId="6" numFmtId="0" xfId="0" applyAlignment="1" applyFont="1">
      <alignment horizontal="left" readingOrder="1" vertical="center"/>
    </xf>
    <xf borderId="0" fillId="0" fontId="6" numFmtId="0" xfId="0" applyAlignment="1" applyFont="1">
      <alignment horizontal="left" readingOrder="1" shrinkToFit="0" vertical="center" wrapText="1"/>
    </xf>
    <xf borderId="0" fillId="0" fontId="1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6" numFmtId="168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167" xfId="0" applyAlignment="1" applyFont="1" applyNumberFormat="1">
      <alignment horizontal="center" readingOrder="1" shrinkToFit="0" vertical="center" wrapText="1"/>
    </xf>
    <xf borderId="0" fillId="0" fontId="6" numFmtId="0" xfId="0" applyAlignment="1" applyFont="1">
      <alignment horizontal="center" readingOrder="1" shrinkToFit="0" vertical="center" wrapText="1"/>
    </xf>
    <xf borderId="0" fillId="0" fontId="6" numFmtId="167" xfId="0" applyAlignment="1" applyFont="1" applyNumberFormat="1">
      <alignment horizontal="center" readingOrder="1" shrinkToFit="0" vertical="bottom" wrapText="1"/>
    </xf>
    <xf borderId="0" fillId="0" fontId="12" numFmtId="0" xfId="0" applyAlignment="1" applyFont="1">
      <alignment horizontal="left" readingOrder="1" shrinkToFit="0" vertical="bottom" wrapText="1"/>
    </xf>
    <xf borderId="0" fillId="0" fontId="12" numFmtId="0" xfId="0" applyAlignment="1" applyFont="1">
      <alignment horizontal="center" readingOrder="1" shrinkToFit="0" vertical="center" wrapText="1"/>
    </xf>
    <xf borderId="0" fillId="0" fontId="12" numFmtId="0" xfId="0" applyAlignment="1" applyFont="1">
      <alignment vertical="bottom"/>
    </xf>
    <xf borderId="1" fillId="0" fontId="8" numFmtId="0" xfId="0" applyAlignment="1" applyBorder="1" applyFont="1">
      <alignment horizontal="center" readingOrder="1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0" fillId="0" fontId="8" numFmtId="0" xfId="0" applyAlignment="1" applyFont="1">
      <alignment horizontal="center" readingOrder="1" shrinkToFit="0" vertical="center" wrapText="1"/>
    </xf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3" fillId="0" fontId="13" numFmtId="0" xfId="0" applyAlignment="1" applyBorder="1" applyFont="1">
      <alignment vertical="center"/>
    </xf>
    <xf borderId="1" fillId="0" fontId="6" numFmtId="167" xfId="0" applyAlignment="1" applyBorder="1" applyFont="1" applyNumberFormat="1">
      <alignment horizontal="center" readingOrder="1" shrinkToFit="0" vertical="center" wrapText="1"/>
    </xf>
    <xf borderId="1" fillId="0" fontId="8" numFmtId="0" xfId="0" applyAlignment="1" applyBorder="1" applyFont="1">
      <alignment horizontal="left" readingOrder="1" shrinkToFit="0" vertical="bottom" wrapText="1"/>
    </xf>
    <xf borderId="4" fillId="0" fontId="1" numFmtId="0" xfId="0" applyAlignment="1" applyBorder="1" applyFont="1">
      <alignment vertical="center"/>
    </xf>
    <xf borderId="5" fillId="0" fontId="12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1" fillId="0" fontId="12" numFmtId="167" xfId="0" applyAlignment="1" applyBorder="1" applyFont="1" applyNumberFormat="1">
      <alignment horizontal="center" shrinkToFit="0" vertical="top" wrapText="1"/>
    </xf>
    <xf borderId="1" fillId="0" fontId="12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vertical="center"/>
    </xf>
    <xf borderId="0" fillId="0" fontId="11" numFmtId="0" xfId="0" applyAlignment="1" applyFont="1">
      <alignment vertical="bottom"/>
    </xf>
    <xf borderId="0" fillId="0" fontId="11" numFmtId="167" xfId="0" applyAlignment="1" applyFont="1" applyNumberFormat="1">
      <alignment vertical="bottom"/>
    </xf>
  </cellXfs>
  <cellStyles count="1">
    <cellStyle xfId="0" name="Normal" builtinId="0"/>
  </cellStyles>
  <dxfs count="4">
    <dxf>
      <font>
        <color rgb="FF0070C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theme="1"/>
      </font>
      <fill>
        <patternFill patternType="none"/>
      </fill>
      <border/>
    </dxf>
    <dxf>
      <font>
        <color rgb="FF0E14F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0</xdr:row>
      <xdr:rowOff>76200</xdr:rowOff>
    </xdr:from>
    <xdr:ext cx="742950" cy="952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409575</xdr:colOff>
      <xdr:row>0</xdr:row>
      <xdr:rowOff>19050</xdr:rowOff>
    </xdr:from>
    <xdr:ext cx="790575" cy="10763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0</xdr:rowOff>
    </xdr:from>
    <xdr:ext cx="742950" cy="895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1257300</xdr:colOff>
      <xdr:row>0</xdr:row>
      <xdr:rowOff>0</xdr:rowOff>
    </xdr:from>
    <xdr:ext cx="904875" cy="101917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29"/>
    <col customWidth="1" min="3" max="26" width="8.71"/>
  </cols>
  <sheetData>
    <row r="1">
      <c r="A1" s="1" t="s">
        <v>0</v>
      </c>
    </row>
    <row r="2">
      <c r="A2" s="3" t="s">
        <v>2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/>
      <c r="N2" s="5"/>
      <c r="O2" s="5"/>
      <c r="P2" s="5"/>
      <c r="Q2" s="5"/>
    </row>
    <row r="3">
      <c r="A3" s="3" t="s">
        <v>10</v>
      </c>
      <c r="B3" s="12">
        <v>0.4393</v>
      </c>
      <c r="C3" s="13"/>
      <c r="D3" s="14"/>
      <c r="E3" s="5"/>
      <c r="F3" s="5"/>
      <c r="G3" s="5"/>
      <c r="H3" s="5"/>
      <c r="I3" s="5"/>
      <c r="J3" s="3"/>
      <c r="K3" s="3"/>
      <c r="L3" s="3"/>
      <c r="M3" s="5"/>
      <c r="N3" s="5"/>
      <c r="O3" s="5"/>
      <c r="P3" s="5"/>
      <c r="Q3" s="5"/>
    </row>
    <row r="4">
      <c r="A4" s="3" t="s">
        <v>13</v>
      </c>
      <c r="B4" s="12">
        <v>1.6421</v>
      </c>
      <c r="C4" s="13"/>
      <c r="D4" s="14"/>
      <c r="E4" s="5"/>
      <c r="F4" s="5"/>
      <c r="G4" s="5"/>
      <c r="H4" s="5"/>
      <c r="I4" s="5"/>
      <c r="J4" s="3"/>
      <c r="K4" s="3"/>
      <c r="L4" s="3"/>
      <c r="M4" s="5"/>
      <c r="N4" s="5"/>
      <c r="O4" s="5"/>
      <c r="P4" s="5"/>
      <c r="Q4" s="5"/>
    </row>
    <row r="5">
      <c r="A5" s="3" t="s">
        <v>15</v>
      </c>
      <c r="B5" s="12">
        <v>0.0846</v>
      </c>
      <c r="C5" s="13"/>
      <c r="D5" s="5"/>
      <c r="E5" s="5"/>
      <c r="F5" s="5"/>
      <c r="G5" s="5"/>
      <c r="H5" s="5"/>
      <c r="I5" s="3"/>
      <c r="J5" s="3"/>
      <c r="K5" s="3"/>
      <c r="L5" s="5"/>
      <c r="M5" s="5"/>
      <c r="N5" s="5"/>
      <c r="O5" s="5"/>
      <c r="P5" s="5"/>
      <c r="Q5" s="5"/>
    </row>
    <row r="6">
      <c r="A6" s="3" t="s">
        <v>16</v>
      </c>
      <c r="B6" s="23">
        <v>1.002</v>
      </c>
      <c r="C6" s="13"/>
      <c r="D6" s="5"/>
      <c r="E6" s="5"/>
      <c r="F6" s="5"/>
      <c r="G6" s="5"/>
      <c r="H6" s="5"/>
      <c r="I6" s="3"/>
      <c r="J6" s="3"/>
      <c r="K6" s="3"/>
      <c r="L6" s="5"/>
      <c r="M6" s="5"/>
      <c r="N6" s="5"/>
      <c r="O6" s="5"/>
      <c r="P6" s="5"/>
      <c r="Q6" s="5"/>
    </row>
    <row r="7">
      <c r="A7" s="3" t="s">
        <v>18</v>
      </c>
      <c r="B7" s="12">
        <v>0.0376</v>
      </c>
      <c r="C7" s="13"/>
      <c r="D7" s="5"/>
      <c r="E7" s="5"/>
      <c r="F7" s="5"/>
      <c r="G7" s="5"/>
      <c r="H7" s="5"/>
      <c r="I7" s="3"/>
      <c r="J7" s="3"/>
      <c r="K7" s="3"/>
      <c r="L7" s="5"/>
      <c r="M7" s="5"/>
      <c r="N7" s="5"/>
      <c r="O7" s="5"/>
      <c r="P7" s="5"/>
      <c r="Q7" s="5"/>
    </row>
    <row r="8">
      <c r="A8" s="3" t="s">
        <v>21</v>
      </c>
      <c r="B8" s="12">
        <v>0.0526</v>
      </c>
      <c r="C8" s="13"/>
      <c r="D8" s="5"/>
      <c r="E8" s="5"/>
      <c r="F8" s="5"/>
      <c r="G8" s="5"/>
      <c r="H8" s="5"/>
      <c r="I8" s="3"/>
      <c r="J8" s="3"/>
      <c r="K8" s="3"/>
      <c r="L8" s="5"/>
      <c r="M8" s="5"/>
      <c r="N8" s="5"/>
      <c r="O8" s="5"/>
      <c r="P8" s="5"/>
      <c r="Q8" s="5"/>
    </row>
    <row r="9">
      <c r="A9" s="3" t="s">
        <v>22</v>
      </c>
      <c r="B9" s="12">
        <v>0.1077</v>
      </c>
      <c r="C9" s="13"/>
      <c r="D9" s="5"/>
      <c r="E9" s="5"/>
      <c r="F9" s="5"/>
      <c r="G9" s="5"/>
      <c r="H9" s="5"/>
      <c r="I9" s="3"/>
      <c r="J9" s="3"/>
      <c r="K9" s="3"/>
      <c r="L9" s="5"/>
      <c r="M9" s="5"/>
      <c r="N9" s="5"/>
      <c r="O9" s="5"/>
      <c r="P9" s="5"/>
      <c r="Q9" s="5"/>
    </row>
    <row r="10">
      <c r="A10" s="3" t="s">
        <v>25</v>
      </c>
      <c r="B10" s="12"/>
      <c r="C10" s="13"/>
      <c r="D10" s="5"/>
      <c r="E10" s="5"/>
      <c r="F10" s="5"/>
      <c r="G10" s="5"/>
      <c r="H10" s="5"/>
      <c r="I10" s="3"/>
      <c r="J10" s="3"/>
      <c r="K10" s="3"/>
      <c r="L10" s="5"/>
      <c r="M10" s="5"/>
      <c r="N10" s="5"/>
      <c r="O10" s="5"/>
      <c r="P10" s="5"/>
      <c r="Q10" s="5"/>
    </row>
    <row r="11">
      <c r="A11" s="5"/>
      <c r="B11" s="1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34" t="s">
        <v>30</v>
      </c>
      <c r="B15" s="35" t="s">
        <v>32</v>
      </c>
      <c r="C15" s="5"/>
      <c r="D15" s="5"/>
      <c r="E15" s="5"/>
      <c r="F15" s="1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36" t="s">
        <v>35</v>
      </c>
      <c r="B16" s="35" t="s">
        <v>36</v>
      </c>
      <c r="C16" s="5"/>
      <c r="D16" s="5"/>
      <c r="E16" s="5"/>
      <c r="F16" s="1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34" t="s">
        <v>37</v>
      </c>
      <c r="B17" s="38">
        <v>46237.0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34" t="s">
        <v>39</v>
      </c>
      <c r="B18" s="42">
        <v>0.36527777777777776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34" t="s">
        <v>40</v>
      </c>
      <c r="B19" s="35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34" t="s">
        <v>42</v>
      </c>
      <c r="B20" s="35" t="s">
        <v>43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15.75" customHeight="1">
      <c r="A23" s="56" t="s">
        <v>50</v>
      </c>
      <c r="B23" s="57" t="s">
        <v>52</v>
      </c>
    </row>
    <row r="24" ht="15.75" customHeight="1">
      <c r="A24" s="56" t="s">
        <v>53</v>
      </c>
      <c r="B24" s="59">
        <v>46153.0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9.71"/>
    <col customWidth="1" min="4" max="4" width="10.0"/>
    <col customWidth="1" min="5" max="5" width="9.71"/>
    <col customWidth="1" min="6" max="6" width="8.71"/>
    <col customWidth="1" min="7" max="8" width="11.86"/>
    <col customWidth="1" min="9" max="26" width="8.71"/>
  </cols>
  <sheetData>
    <row r="1">
      <c r="A1" s="2"/>
    </row>
    <row r="2">
      <c r="A2" s="2" t="s">
        <v>3</v>
      </c>
    </row>
    <row r="3">
      <c r="A3" s="6" t="s">
        <v>4</v>
      </c>
    </row>
    <row r="4">
      <c r="A4" s="6" t="s">
        <v>6</v>
      </c>
    </row>
    <row r="6">
      <c r="A6" s="2" t="s">
        <v>7</v>
      </c>
    </row>
    <row r="7">
      <c r="A7" s="6" t="s">
        <v>9</v>
      </c>
    </row>
    <row r="10" ht="15.0" customHeight="1">
      <c r="A10" s="11"/>
      <c r="B10" s="18" t="str">
        <f>"Protocol no.: " &amp;  'RAW DATA'!A1</f>
        <v>Protocol no.: ME-ZCMC-2026-014</v>
      </c>
      <c r="F10" s="20"/>
      <c r="G10" s="21" t="s">
        <v>14</v>
      </c>
      <c r="H10" s="20" t="str">
        <f>'RAW DATA'!B23</f>
        <v>E251106DO</v>
      </c>
      <c r="I10" s="20"/>
      <c r="J10" s="20"/>
      <c r="K10" s="20"/>
      <c r="L10" s="21" t="str">
        <f> "Date Performed: " &amp; TEXT('RAW DATA'!B17, "mm/dd/yyyy")</f>
        <v>Date Performed: 08/03/2026</v>
      </c>
      <c r="M10" s="18"/>
      <c r="N10" s="24"/>
      <c r="O10" s="20"/>
    </row>
    <row r="11">
      <c r="A11" s="8"/>
      <c r="B11" s="20" t="s">
        <v>17</v>
      </c>
      <c r="D11" s="21" t="s">
        <v>19</v>
      </c>
      <c r="E11" s="20"/>
      <c r="F11" s="20"/>
      <c r="G11" s="21" t="s">
        <v>20</v>
      </c>
      <c r="H11" s="24" t="str">
        <f> TEXT('RAW DATA'!B24, "mm/dd/yyyy")</f>
        <v>05/11/2026</v>
      </c>
      <c r="I11" s="20"/>
      <c r="J11" s="20"/>
      <c r="K11" s="20"/>
      <c r="L11" s="21" t="str">
        <f>"Time: " &amp; TEXT('RAW DATA'!B18, "h:mm AM/PM")</f>
        <v>Time: 8:46 am</v>
      </c>
      <c r="M11" s="18"/>
      <c r="N11" s="27"/>
      <c r="O11" s="20"/>
    </row>
    <row r="12">
      <c r="A12" s="8"/>
      <c r="B12" s="20" t="s">
        <v>23</v>
      </c>
      <c r="F12" s="20"/>
      <c r="G12" s="21" t="s">
        <v>24</v>
      </c>
      <c r="H12" s="20" t="s">
        <v>26</v>
      </c>
      <c r="I12" s="20"/>
      <c r="J12" s="20"/>
      <c r="K12" s="20"/>
      <c r="L12" s="21" t="str">
        <f> "Performed by: " &amp; 'RAW DATA'!B15</f>
        <v>Performed by: A.REYES</v>
      </c>
      <c r="M12" s="18"/>
      <c r="N12" s="20"/>
      <c r="O12" s="20"/>
    </row>
    <row r="13">
      <c r="A13" s="8"/>
      <c r="B13" s="20" t="s">
        <v>28</v>
      </c>
      <c r="E13" s="20"/>
      <c r="F13" s="20"/>
      <c r="G13" s="21" t="s">
        <v>29</v>
      </c>
      <c r="H13" s="20" t="str">
        <f>'RAW DATA'!B19</f>
        <v>23.7°C</v>
      </c>
      <c r="I13" s="20"/>
      <c r="J13" s="20"/>
      <c r="K13" s="20"/>
      <c r="L13" s="21" t="str">
        <f>"Validated by: " &amp; 'RAW DATA'!B16</f>
        <v>Validated by: M.PUTI</v>
      </c>
      <c r="M13" s="18"/>
      <c r="N13" s="20"/>
      <c r="O13" s="20"/>
    </row>
    <row r="14">
      <c r="A14" s="8"/>
      <c r="B14" s="20"/>
      <c r="C14" s="20"/>
      <c r="D14" s="20"/>
      <c r="E14" s="20"/>
      <c r="F14" s="20"/>
      <c r="G14" s="21" t="s">
        <v>34</v>
      </c>
      <c r="H14" s="20" t="str">
        <f>'RAW DATA'!B20</f>
        <v>23.4°C</v>
      </c>
      <c r="I14" s="20"/>
      <c r="J14" s="20"/>
      <c r="K14" s="20"/>
      <c r="L14" s="20"/>
      <c r="M14" s="20"/>
      <c r="N14" s="20"/>
      <c r="O14" s="20"/>
      <c r="Q14" s="37"/>
    </row>
    <row r="16" ht="28.5" customHeight="1">
      <c r="B16" s="39"/>
      <c r="C16" s="40">
        <v>1.0</v>
      </c>
      <c r="D16" s="40">
        <v>2.0</v>
      </c>
      <c r="E16" s="40">
        <v>3.0</v>
      </c>
      <c r="F16" s="40">
        <v>4.0</v>
      </c>
      <c r="G16" s="40">
        <v>5.0</v>
      </c>
      <c r="H16" s="40">
        <v>6.0</v>
      </c>
      <c r="I16" s="40">
        <v>7.0</v>
      </c>
      <c r="J16" s="40">
        <v>8.0</v>
      </c>
      <c r="K16" s="40">
        <v>9.0</v>
      </c>
      <c r="L16" s="40">
        <v>10.0</v>
      </c>
      <c r="M16" s="40">
        <v>11.0</v>
      </c>
      <c r="N16" s="45">
        <v>12.0</v>
      </c>
    </row>
    <row r="17" ht="28.5" customHeight="1">
      <c r="B17" s="40" t="s">
        <v>10</v>
      </c>
      <c r="C17" s="48" t="s">
        <v>44</v>
      </c>
      <c r="D17" s="50"/>
      <c r="E17" s="52"/>
      <c r="F17" s="39"/>
      <c r="G17" s="39"/>
      <c r="H17" s="39"/>
      <c r="I17" s="39"/>
      <c r="J17" s="39"/>
      <c r="K17" s="39"/>
      <c r="L17" s="39"/>
      <c r="M17" s="39"/>
      <c r="N17" s="58"/>
    </row>
    <row r="18" ht="28.5" customHeight="1">
      <c r="B18" s="40" t="s">
        <v>13</v>
      </c>
      <c r="C18" s="48" t="s">
        <v>54</v>
      </c>
      <c r="D18" s="50"/>
      <c r="E18" s="52"/>
      <c r="F18" s="39"/>
      <c r="G18" s="39"/>
      <c r="H18" s="39"/>
      <c r="I18" s="39"/>
      <c r="J18" s="39"/>
      <c r="K18" s="39"/>
      <c r="L18" s="39"/>
      <c r="M18" s="39"/>
      <c r="N18" s="58"/>
    </row>
    <row r="19" ht="28.5" customHeight="1">
      <c r="B19" s="40" t="s">
        <v>15</v>
      </c>
      <c r="C19" s="48" t="s">
        <v>57</v>
      </c>
      <c r="D19" s="50"/>
      <c r="E19" s="39"/>
      <c r="F19" s="39"/>
      <c r="G19" s="39"/>
      <c r="H19" s="39"/>
      <c r="I19" s="39"/>
      <c r="J19" s="39"/>
      <c r="K19" s="39"/>
      <c r="L19" s="39"/>
      <c r="M19" s="39"/>
      <c r="N19" s="58"/>
    </row>
    <row r="20" ht="28.5" customHeight="1">
      <c r="B20" s="40" t="s">
        <v>16</v>
      </c>
      <c r="C20" s="48" t="s">
        <v>60</v>
      </c>
      <c r="D20" s="50"/>
      <c r="E20" s="39"/>
      <c r="F20" s="39"/>
      <c r="G20" s="39"/>
      <c r="H20" s="39"/>
      <c r="I20" s="39"/>
      <c r="J20" s="39"/>
      <c r="K20" s="39"/>
      <c r="L20" s="39"/>
      <c r="M20" s="39"/>
      <c r="N20" s="58"/>
    </row>
    <row r="21" ht="28.5" customHeight="1">
      <c r="B21" s="40" t="s">
        <v>18</v>
      </c>
      <c r="C21" s="50" t="s">
        <v>61</v>
      </c>
      <c r="D21" s="50"/>
      <c r="E21" s="39"/>
      <c r="F21" s="39"/>
      <c r="G21" s="39"/>
      <c r="H21" s="39"/>
      <c r="I21" s="39"/>
      <c r="J21" s="39"/>
      <c r="K21" s="39"/>
      <c r="L21" s="39"/>
      <c r="M21" s="39"/>
      <c r="N21" s="58"/>
    </row>
    <row r="22" ht="28.5" customHeight="1">
      <c r="B22" s="40" t="s">
        <v>21</v>
      </c>
      <c r="C22" s="50" t="s">
        <v>64</v>
      </c>
      <c r="D22" s="50"/>
      <c r="E22" s="39"/>
      <c r="F22" s="39"/>
      <c r="G22" s="39"/>
      <c r="H22" s="39"/>
      <c r="I22" s="39"/>
      <c r="J22" s="39"/>
      <c r="K22" s="39"/>
      <c r="L22" s="39"/>
      <c r="M22" s="39"/>
      <c r="N22" s="58"/>
    </row>
    <row r="23" ht="28.5" customHeight="1">
      <c r="B23" s="40" t="s">
        <v>22</v>
      </c>
      <c r="C23" s="50" t="s">
        <v>71</v>
      </c>
      <c r="D23" s="50"/>
      <c r="E23" s="39"/>
      <c r="F23" s="39"/>
      <c r="G23" s="39"/>
      <c r="H23" s="39"/>
      <c r="I23" s="39"/>
      <c r="J23" s="39"/>
      <c r="K23" s="39"/>
      <c r="L23" s="39"/>
      <c r="M23" s="39"/>
      <c r="N23" s="58"/>
    </row>
    <row r="24" ht="28.5" customHeight="1">
      <c r="B24" s="40" t="s">
        <v>25</v>
      </c>
      <c r="C24" s="50"/>
      <c r="D24" s="50"/>
      <c r="E24" s="39"/>
      <c r="F24" s="39"/>
      <c r="G24" s="39"/>
      <c r="H24" s="39"/>
      <c r="I24" s="39"/>
      <c r="J24" s="39"/>
      <c r="K24" s="39"/>
      <c r="L24" s="39"/>
      <c r="M24" s="39"/>
      <c r="N24" s="58"/>
    </row>
    <row r="25" ht="15.75" customHeight="1">
      <c r="C25" s="74"/>
    </row>
    <row r="26" ht="15.75" customHeight="1">
      <c r="B26" s="8" t="s">
        <v>75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ht="15.75" customHeight="1"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11:C11"/>
    <mergeCell ref="B12:E12"/>
    <mergeCell ref="B13:D13"/>
    <mergeCell ref="C25:N26"/>
    <mergeCell ref="A1:O1"/>
    <mergeCell ref="A2:O2"/>
    <mergeCell ref="A3:O3"/>
    <mergeCell ref="A4:O4"/>
    <mergeCell ref="A6:O6"/>
    <mergeCell ref="A7:O7"/>
    <mergeCell ref="B10:E10"/>
  </mergeCells>
  <printOptions horizontalCentered="1"/>
  <pageMargins bottom="0.25" footer="0.0" header="0.0" left="0.25" right="0.25" top="0.2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14"/>
    <col customWidth="1" min="3" max="3" width="17.86"/>
    <col customWidth="1" min="4" max="4" width="21.86"/>
    <col customWidth="1" min="5" max="5" width="19.57"/>
    <col customWidth="1" hidden="1" min="6" max="6" width="18.86"/>
    <col customWidth="1" min="7" max="7" width="12.43"/>
    <col customWidth="1" min="8" max="8" width="7.57"/>
    <col customWidth="1" min="9" max="26" width="9.14"/>
  </cols>
  <sheetData>
    <row r="1" ht="19.5" customHeight="1">
      <c r="A1" s="4" t="s">
        <v>1</v>
      </c>
    </row>
    <row r="2" ht="21.0" customHeight="1">
      <c r="A2" s="7" t="s">
        <v>5</v>
      </c>
      <c r="H2" s="8"/>
      <c r="I2" s="8"/>
    </row>
    <row r="3" ht="18.75" customHeight="1">
      <c r="A3" s="9" t="s">
        <v>8</v>
      </c>
      <c r="H3" s="8"/>
      <c r="I3" s="8"/>
      <c r="L3" s="10"/>
    </row>
    <row r="4" ht="21.0" customHeight="1">
      <c r="E4" s="10"/>
      <c r="F4" s="10"/>
      <c r="G4" s="10"/>
      <c r="H4" s="10"/>
      <c r="I4" s="10"/>
    </row>
    <row r="5" ht="18.0" customHeight="1">
      <c r="A5" s="7" t="s">
        <v>11</v>
      </c>
    </row>
    <row r="6" ht="16.5" customHeight="1">
      <c r="A6" s="15" t="s">
        <v>12</v>
      </c>
      <c r="H6" s="16"/>
      <c r="I6" s="16"/>
    </row>
    <row r="7" ht="18.0" customHeight="1">
      <c r="A7" s="17"/>
      <c r="B7" s="17"/>
      <c r="C7" s="17"/>
      <c r="D7" s="17"/>
      <c r="E7" s="17"/>
      <c r="F7" s="19"/>
      <c r="G7" s="19"/>
      <c r="H7" s="19"/>
      <c r="I7" s="19"/>
    </row>
    <row r="8">
      <c r="A8" s="22"/>
      <c r="B8" s="22"/>
      <c r="C8" s="22"/>
      <c r="D8" s="22"/>
      <c r="E8" s="22"/>
      <c r="F8" s="22"/>
      <c r="G8" s="22"/>
      <c r="H8" s="22"/>
      <c r="I8" s="22"/>
    </row>
    <row r="9" ht="16.5" customHeight="1">
      <c r="A9" s="25" t="str">
        <f>"Protocol no.: " &amp;  'RAW DATA'!A1</f>
        <v>Protocol no.: ME-ZCMC-2026-014</v>
      </c>
      <c r="D9" s="26" t="str">
        <f>"Lot No.:" &amp; 'RAW DATA'!B23</f>
        <v>Lot No.:E251106DO</v>
      </c>
      <c r="E9" s="25" t="str">
        <f> "           Date Performed: " &amp; TEXT('RAW DATA'!B17, "mm/dd/yyyy")</f>
        <v>           Date Performed: 08/03/2026</v>
      </c>
      <c r="F9" s="26"/>
      <c r="G9" s="28"/>
      <c r="H9" s="29"/>
      <c r="I9" s="29"/>
    </row>
    <row r="10">
      <c r="A10" s="30" t="s">
        <v>17</v>
      </c>
      <c r="C10" s="25" t="s">
        <v>19</v>
      </c>
      <c r="D10" s="25" t="str">
        <f>"Expiry Date: " &amp; TEXT('RAW DATA'!B24, "mm/dd/yyyy")</f>
        <v>Expiry Date: 05/11/2026</v>
      </c>
      <c r="E10" s="26" t="s">
        <v>27</v>
      </c>
      <c r="F10" s="26"/>
      <c r="G10" s="31">
        <f>'RAW DATA'!B18</f>
        <v>0.3652777778</v>
      </c>
      <c r="H10" s="32"/>
      <c r="I10" s="33"/>
    </row>
    <row r="11" ht="16.5" customHeight="1">
      <c r="A11" s="30" t="s">
        <v>23</v>
      </c>
      <c r="D11" s="26" t="s">
        <v>31</v>
      </c>
      <c r="E11" s="25" t="s">
        <v>33</v>
      </c>
      <c r="F11" s="26"/>
      <c r="G11" s="30" t="str">
        <f>'RAW DATA'!B15</f>
        <v>A.REYES</v>
      </c>
      <c r="H11" s="29"/>
      <c r="I11" s="29"/>
    </row>
    <row r="12">
      <c r="A12" s="30" t="s">
        <v>28</v>
      </c>
      <c r="D12" s="26" t="str">
        <f>"Start: " &amp; 'RAW DATA'!B19</f>
        <v>Start: 23.7°C</v>
      </c>
      <c r="E12" s="26" t="s">
        <v>38</v>
      </c>
      <c r="F12" s="26"/>
      <c r="G12" s="30" t="str">
        <f>'RAW DATA'!B16</f>
        <v>M.PUTI</v>
      </c>
      <c r="H12" s="29"/>
      <c r="I12" s="29"/>
    </row>
    <row r="13">
      <c r="A13" s="29"/>
      <c r="B13" s="29"/>
      <c r="C13" s="29"/>
      <c r="D13" s="26" t="str">
        <f>"End: " &amp; 'RAW DATA'!B20</f>
        <v>End: 23.4°C</v>
      </c>
      <c r="E13" s="41"/>
      <c r="F13" s="26"/>
      <c r="G13" s="26"/>
      <c r="H13" s="29"/>
      <c r="I13" s="29"/>
    </row>
    <row r="14">
      <c r="A14" s="22"/>
      <c r="B14" s="22"/>
      <c r="C14" s="22"/>
      <c r="D14" s="22"/>
      <c r="E14" s="22"/>
      <c r="F14" s="22"/>
      <c r="G14" s="22"/>
      <c r="H14" s="22"/>
      <c r="I14" s="22"/>
    </row>
    <row r="15">
      <c r="A15" s="43"/>
      <c r="B15" s="44"/>
      <c r="C15" s="46"/>
      <c r="D15" s="47"/>
      <c r="E15" s="46"/>
      <c r="F15" s="22"/>
      <c r="G15" s="22"/>
      <c r="H15" s="22"/>
      <c r="I15" s="22"/>
    </row>
    <row r="16">
      <c r="A16" s="47" t="s">
        <v>45</v>
      </c>
      <c r="B16" s="47"/>
      <c r="C16" s="49"/>
      <c r="D16" s="47"/>
      <c r="E16" s="49"/>
      <c r="F16" s="51"/>
      <c r="G16" s="53"/>
      <c r="I16" s="22"/>
    </row>
    <row r="17">
      <c r="A17" s="47"/>
      <c r="B17" s="47"/>
      <c r="C17" s="15" t="s">
        <v>46</v>
      </c>
      <c r="D17" s="15" t="s">
        <v>47</v>
      </c>
      <c r="E17" s="15" t="s">
        <v>48</v>
      </c>
      <c r="F17" s="51"/>
      <c r="G17" s="53"/>
      <c r="I17" s="22"/>
    </row>
    <row r="18">
      <c r="A18" s="54" t="s">
        <v>49</v>
      </c>
      <c r="B18" s="55"/>
      <c r="C18" s="15" t="s">
        <v>51</v>
      </c>
      <c r="D18" s="60">
        <f>D32</f>
        <v>0.4393</v>
      </c>
      <c r="E18" s="61" t="str">
        <f>IF(D18 &gt; 0.14,"VALID", "INVALID")</f>
        <v>VALID</v>
      </c>
      <c r="F18" s="51"/>
      <c r="G18" s="53"/>
      <c r="I18" s="22"/>
    </row>
    <row r="19" ht="15.0" customHeight="1">
      <c r="A19" s="47" t="s">
        <v>55</v>
      </c>
      <c r="B19" s="47"/>
      <c r="C19" s="62" t="s">
        <v>56</v>
      </c>
      <c r="D19" s="61">
        <f t="shared" ref="D19:D20" si="1">E33</f>
        <v>3.73799226</v>
      </c>
      <c r="E19" s="63" t="str">
        <f>IF(AND(D19 &gt;= 1.9, D19 &lt;= 4.9),"VALID","INVALID")</f>
        <v>VALID</v>
      </c>
      <c r="F19" s="6"/>
      <c r="I19" s="22"/>
    </row>
    <row r="20" ht="16.5" customHeight="1">
      <c r="A20" s="54" t="s">
        <v>58</v>
      </c>
      <c r="B20" s="55"/>
      <c r="C20" s="64" t="s">
        <v>59</v>
      </c>
      <c r="D20" s="63">
        <f t="shared" si="1"/>
        <v>0.1925791031</v>
      </c>
      <c r="E20" s="63" t="str">
        <f>IF(AND(D20 &gt;= 0, D20 &lt;= 0.7), "VALID", "INVALID")</f>
        <v>VALID</v>
      </c>
      <c r="I20" s="22"/>
    </row>
    <row r="21" ht="16.5" customHeight="1">
      <c r="A21" s="54"/>
      <c r="B21" s="55"/>
      <c r="C21" s="64"/>
      <c r="D21" s="65"/>
      <c r="E21" s="63"/>
      <c r="F21" s="22"/>
      <c r="G21" s="22"/>
      <c r="H21" s="22"/>
      <c r="I21" s="22"/>
    </row>
    <row r="22" ht="15.75" customHeight="1">
      <c r="A22" s="22"/>
      <c r="B22" s="22"/>
      <c r="C22" s="66"/>
      <c r="D22" s="53"/>
      <c r="E22" s="67"/>
      <c r="F22" s="22"/>
      <c r="G22" s="22"/>
      <c r="H22" s="22"/>
      <c r="I22" s="22"/>
    </row>
    <row r="23" ht="20.25" customHeight="1">
      <c r="A23" s="47" t="s">
        <v>62</v>
      </c>
      <c r="B23" s="22"/>
      <c r="C23" s="22"/>
      <c r="D23" s="22"/>
      <c r="E23" s="22"/>
      <c r="F23" s="22"/>
      <c r="G23" s="22"/>
      <c r="H23" s="22"/>
      <c r="I23" s="22"/>
    </row>
    <row r="24" ht="15.75" customHeight="1">
      <c r="A24" s="68"/>
      <c r="B24" s="22"/>
      <c r="C24" s="69" t="s">
        <v>63</v>
      </c>
      <c r="D24" s="69" t="s">
        <v>47</v>
      </c>
      <c r="E24" s="22"/>
      <c r="F24" s="22"/>
      <c r="G24" s="22"/>
      <c r="H24" s="22"/>
      <c r="I24" s="22"/>
    </row>
    <row r="25" ht="15.75" customHeight="1">
      <c r="A25" s="22"/>
      <c r="B25" s="22"/>
      <c r="C25" s="70" t="s">
        <v>65</v>
      </c>
      <c r="D25" s="70" t="s">
        <v>66</v>
      </c>
      <c r="E25" s="71"/>
      <c r="F25" s="22"/>
      <c r="G25" s="22"/>
      <c r="H25" s="22"/>
      <c r="I25" s="22"/>
    </row>
    <row r="26" ht="15.75" customHeight="1">
      <c r="A26" s="22"/>
      <c r="B26" s="22"/>
      <c r="C26" s="48" t="s">
        <v>67</v>
      </c>
      <c r="D26" s="48" t="s">
        <v>68</v>
      </c>
      <c r="E26" s="71"/>
      <c r="F26" s="22"/>
      <c r="G26" s="22"/>
      <c r="H26" s="22"/>
      <c r="I26" s="22"/>
    </row>
    <row r="27" ht="15.75" customHeight="1">
      <c r="A27" s="22"/>
      <c r="B27" s="22"/>
      <c r="C27" s="48" t="s">
        <v>69</v>
      </c>
      <c r="D27" s="48" t="s">
        <v>70</v>
      </c>
      <c r="E27" s="71"/>
      <c r="F27" s="22"/>
      <c r="G27" s="22"/>
      <c r="H27" s="22"/>
      <c r="I27" s="22"/>
    </row>
    <row r="28" ht="15.75" customHeight="1">
      <c r="A28" s="22"/>
      <c r="B28" s="22"/>
      <c r="C28" s="72"/>
      <c r="D28" s="71"/>
      <c r="E28" s="71"/>
      <c r="F28" s="22"/>
      <c r="G28" s="22"/>
      <c r="H28" s="22"/>
      <c r="I28" s="22"/>
    </row>
    <row r="29" ht="15.75" customHeight="1">
      <c r="A29" s="22"/>
      <c r="B29" s="22"/>
      <c r="C29" s="72"/>
      <c r="D29" s="71"/>
      <c r="E29" s="71"/>
      <c r="F29" s="22"/>
      <c r="G29" s="22"/>
      <c r="H29" s="22"/>
      <c r="I29" s="22"/>
    </row>
    <row r="30" ht="15.75" customHeight="1">
      <c r="A30" s="22"/>
      <c r="B30" s="22"/>
      <c r="C30" s="72"/>
      <c r="D30" s="71"/>
      <c r="E30" s="71"/>
      <c r="F30" s="22"/>
      <c r="G30" s="22"/>
      <c r="H30" s="22"/>
      <c r="I30" s="22"/>
    </row>
    <row r="31" ht="26.25" customHeight="1">
      <c r="A31" s="73"/>
      <c r="B31" s="69" t="s">
        <v>72</v>
      </c>
      <c r="C31" s="69" t="s">
        <v>73</v>
      </c>
      <c r="D31" s="69" t="s">
        <v>74</v>
      </c>
      <c r="E31" s="69" t="s">
        <v>63</v>
      </c>
      <c r="F31" s="69"/>
      <c r="G31" s="69" t="s">
        <v>47</v>
      </c>
      <c r="H31" s="22"/>
      <c r="I31" s="22"/>
    </row>
    <row r="32" ht="21.0" customHeight="1">
      <c r="A32" s="73"/>
      <c r="B32" s="69">
        <f t="shared" ref="B32:B49" si="2">ROW(B1)</f>
        <v>1</v>
      </c>
      <c r="C32" s="75" t="str">
        <f>'TEST PROTOCOL'!C17</f>
        <v>CAL </v>
      </c>
      <c r="D32" s="75">
        <f>'RAW DATA'!B3</f>
        <v>0.4393</v>
      </c>
      <c r="E32" s="77"/>
      <c r="F32" s="78"/>
      <c r="G32" s="69"/>
      <c r="H32" s="22"/>
      <c r="I32" s="22"/>
    </row>
    <row r="33" ht="21.0" customHeight="1">
      <c r="A33" s="73"/>
      <c r="B33" s="69">
        <f t="shared" si="2"/>
        <v>2</v>
      </c>
      <c r="C33" s="75" t="str">
        <f>'TEST PROTOCOL'!C18</f>
        <v>PC</v>
      </c>
      <c r="D33" s="75">
        <f>'RAW DATA'!B4</f>
        <v>1.6421</v>
      </c>
      <c r="E33" s="77">
        <f t="shared" ref="E33:E38" si="3">IF(D33="", "", D33/$D$32)</f>
        <v>3.73799226</v>
      </c>
      <c r="F33" s="80"/>
      <c r="G33" s="69" t="str">
        <f t="shared" ref="G33:G38" si="4">IF(E33="", "", IF(E33&lt;0.8,"NEGATIVE", IF(E33&lt;1.1,"EQUIVOCAL","POSITIVE")))</f>
        <v>POSITIVE</v>
      </c>
      <c r="H33" s="22"/>
      <c r="I33" s="22"/>
    </row>
    <row r="34" ht="21.0" customHeight="1">
      <c r="A34" s="73"/>
      <c r="B34" s="69">
        <f t="shared" si="2"/>
        <v>3</v>
      </c>
      <c r="C34" s="75" t="str">
        <f>'TEST PROTOCOL'!C19</f>
        <v>NC</v>
      </c>
      <c r="D34" s="75">
        <f>'RAW DATA'!B5</f>
        <v>0.0846</v>
      </c>
      <c r="E34" s="77">
        <f t="shared" si="3"/>
        <v>0.1925791031</v>
      </c>
      <c r="F34" s="81"/>
      <c r="G34" s="69" t="str">
        <f t="shared" si="4"/>
        <v>NEGATIVE</v>
      </c>
      <c r="H34" s="22"/>
      <c r="I34" s="22"/>
    </row>
    <row r="35" ht="21.0" customHeight="1">
      <c r="A35" s="73"/>
      <c r="B35" s="69">
        <f t="shared" si="2"/>
        <v>4</v>
      </c>
      <c r="C35" s="75" t="str">
        <f>'TEST PROTOCOL'!C20</f>
        <v>IHC</v>
      </c>
      <c r="D35" s="75">
        <f>'RAW DATA'!B6</f>
        <v>1.002</v>
      </c>
      <c r="E35" s="77">
        <f t="shared" si="3"/>
        <v>2.280901434</v>
      </c>
      <c r="F35" s="82"/>
      <c r="G35" s="69" t="str">
        <f t="shared" si="4"/>
        <v>POSITIVE</v>
      </c>
      <c r="H35" s="22"/>
    </row>
    <row r="36" ht="21.0" customHeight="1">
      <c r="A36" s="73"/>
      <c r="B36" s="69">
        <f t="shared" si="2"/>
        <v>5</v>
      </c>
      <c r="C36" s="75" t="str">
        <f>IF('TEST PROTOCOL'!C21="", "", 'TEST PROTOCOL'!C21)</f>
        <v>MR-2026-06-0066</v>
      </c>
      <c r="D36" s="75">
        <f>'RAW DATA'!B7</f>
        <v>0.0376</v>
      </c>
      <c r="E36" s="77">
        <f t="shared" si="3"/>
        <v>0.0855907125</v>
      </c>
      <c r="F36" s="83"/>
      <c r="G36" s="69" t="str">
        <f t="shared" si="4"/>
        <v>NEGATIVE</v>
      </c>
      <c r="H36" s="22"/>
    </row>
    <row r="37" ht="21.0" customHeight="1">
      <c r="A37" s="73"/>
      <c r="B37" s="69">
        <f t="shared" si="2"/>
        <v>6</v>
      </c>
      <c r="C37" s="75" t="str">
        <f>IF('TEST PROTOCOL'!C22="", "", 'TEST PROTOCOL'!C22)</f>
        <v>MR-2026-06-0067</v>
      </c>
      <c r="D37" s="75">
        <f>IF('RAW DATA'!B8="", "", 'RAW DATA'!B8)</f>
        <v>0.0526</v>
      </c>
      <c r="E37" s="77">
        <f t="shared" si="3"/>
        <v>0.1197359435</v>
      </c>
      <c r="F37" s="83"/>
      <c r="G37" s="69" t="str">
        <f t="shared" si="4"/>
        <v>NEGATIVE</v>
      </c>
      <c r="H37" s="22"/>
    </row>
    <row r="38" ht="21.0" customHeight="1">
      <c r="A38" s="73"/>
      <c r="B38" s="69">
        <f t="shared" si="2"/>
        <v>7</v>
      </c>
      <c r="C38" s="75" t="str">
        <f>IF('TEST PROTOCOL'!C23="", "", 'TEST PROTOCOL'!C23)</f>
        <v>MR-2026-06-0068</v>
      </c>
      <c r="D38" s="75">
        <f>IF('RAW DATA'!B9="", "", 'RAW DATA'!B9)</f>
        <v>0.1077</v>
      </c>
      <c r="E38" s="77">
        <f t="shared" si="3"/>
        <v>0.2451627589</v>
      </c>
      <c r="F38" s="83"/>
      <c r="G38" s="69" t="str">
        <f t="shared" si="4"/>
        <v>NEGATIVE</v>
      </c>
      <c r="H38" s="22"/>
    </row>
    <row r="39" ht="21.0" customHeight="1">
      <c r="A39" s="73"/>
      <c r="B39" s="69">
        <f t="shared" si="2"/>
        <v>8</v>
      </c>
      <c r="C39" s="75" t="str">
        <f>IF('TEST PROTOCOL'!C24="", "", 'TEST PROTOCOL'!C24)</f>
        <v/>
      </c>
      <c r="D39" s="75"/>
      <c r="E39" s="77"/>
      <c r="F39" s="83"/>
      <c r="G39" s="69"/>
      <c r="H39" s="22"/>
    </row>
    <row r="40" ht="21.0" customHeight="1">
      <c r="A40" s="73"/>
      <c r="B40" s="69">
        <f t="shared" si="2"/>
        <v>9</v>
      </c>
      <c r="C40" s="75" t="str">
        <f>IF('TEST PROTOCOL'!D17="", "", 'TEST PROTOCOL'!D17)</f>
        <v/>
      </c>
      <c r="D40" s="75" t="str">
        <f>IF('RAW DATA'!C3="", "", 'RAW DATA'!C3)</f>
        <v/>
      </c>
      <c r="E40" s="77" t="str">
        <f t="shared" ref="E40:E45" si="5">IF(D40="", "", D40/$D$32)</f>
        <v/>
      </c>
      <c r="F40" s="83"/>
      <c r="G40" s="69" t="str">
        <f t="shared" ref="G40:G45" si="6">IF(E40="", "", IF(E40&lt;0.8,"NEGATIVE", IF(E40&lt;1.1,"EQUIVOCAL","POSITIVE")))</f>
        <v/>
      </c>
      <c r="H40" s="22"/>
    </row>
    <row r="41" ht="21.0" customHeight="1">
      <c r="A41" s="73"/>
      <c r="B41" s="69">
        <f t="shared" si="2"/>
        <v>10</v>
      </c>
      <c r="C41" s="75" t="str">
        <f>IF('TEST PROTOCOL'!D18="", "", 'TEST PROTOCOL'!D18)</f>
        <v/>
      </c>
      <c r="D41" s="75" t="str">
        <f>IF('RAW DATA'!C4="", "", 'RAW DATA'!C4)</f>
        <v/>
      </c>
      <c r="E41" s="77" t="str">
        <f t="shared" si="5"/>
        <v/>
      </c>
      <c r="F41" s="83"/>
      <c r="G41" s="69" t="str">
        <f t="shared" si="6"/>
        <v/>
      </c>
    </row>
    <row r="42" ht="21.0" customHeight="1">
      <c r="A42" s="73"/>
      <c r="B42" s="69">
        <f t="shared" si="2"/>
        <v>11</v>
      </c>
      <c r="C42" s="75" t="str">
        <f>IF('TEST PROTOCOL'!D19="", "", 'TEST PROTOCOL'!D19)</f>
        <v/>
      </c>
      <c r="D42" s="75" t="str">
        <f>IF('RAW DATA'!C5="", "", 'RAW DATA'!C5)</f>
        <v/>
      </c>
      <c r="E42" s="77" t="str">
        <f t="shared" si="5"/>
        <v/>
      </c>
      <c r="F42" s="83"/>
      <c r="G42" s="69" t="str">
        <f t="shared" si="6"/>
        <v/>
      </c>
    </row>
    <row r="43" ht="21.0" customHeight="1">
      <c r="A43" s="73"/>
      <c r="B43" s="69">
        <f t="shared" si="2"/>
        <v>12</v>
      </c>
      <c r="C43" s="75" t="str">
        <f>IF('TEST PROTOCOL'!D20="", "", 'TEST PROTOCOL'!D20)</f>
        <v/>
      </c>
      <c r="D43" s="75" t="str">
        <f>IF('RAW DATA'!C6="", "", 'RAW DATA'!C6)</f>
        <v/>
      </c>
      <c r="E43" s="77" t="str">
        <f t="shared" si="5"/>
        <v/>
      </c>
      <c r="F43" s="83"/>
      <c r="G43" s="69" t="str">
        <f t="shared" si="6"/>
        <v/>
      </c>
    </row>
    <row r="44" ht="21.0" customHeight="1">
      <c r="A44" s="74"/>
      <c r="B44" s="69">
        <f t="shared" si="2"/>
        <v>13</v>
      </c>
      <c r="C44" s="75" t="str">
        <f>IF('TEST PROTOCOL'!D21="", "", 'TEST PROTOCOL'!D21)</f>
        <v/>
      </c>
      <c r="D44" s="75" t="str">
        <f>IF('RAW DATA'!C7="", "", 'RAW DATA'!C7)</f>
        <v/>
      </c>
      <c r="E44" s="77" t="str">
        <f t="shared" si="5"/>
        <v/>
      </c>
      <c r="F44" s="84"/>
      <c r="G44" s="69" t="str">
        <f t="shared" si="6"/>
        <v/>
      </c>
    </row>
    <row r="45" ht="21.0" customHeight="1">
      <c r="A45" s="74"/>
      <c r="B45" s="69">
        <f t="shared" si="2"/>
        <v>14</v>
      </c>
      <c r="C45" s="75" t="str">
        <f>IF('TEST PROTOCOL'!D22="", "", 'TEST PROTOCOL'!D22)</f>
        <v/>
      </c>
      <c r="D45" s="75" t="str">
        <f>IF('RAW DATA'!C8="", "", 'RAW DATA'!C8)</f>
        <v/>
      </c>
      <c r="E45" s="77" t="str">
        <f t="shared" si="5"/>
        <v/>
      </c>
      <c r="F45" s="84"/>
      <c r="G45" s="69" t="str">
        <f t="shared" si="6"/>
        <v/>
      </c>
    </row>
    <row r="46" ht="21.0" customHeight="1">
      <c r="B46" s="69">
        <f t="shared" si="2"/>
        <v>15</v>
      </c>
      <c r="C46" s="75" t="str">
        <f>IF('TEST PROTOCOL'!D23="", "", 'TEST PROTOCOL'!D23)</f>
        <v/>
      </c>
      <c r="D46" s="75"/>
      <c r="E46" s="77"/>
      <c r="F46" s="51"/>
      <c r="G46" s="69"/>
    </row>
    <row r="47" ht="21.0" customHeight="1">
      <c r="B47" s="69">
        <f t="shared" si="2"/>
        <v>16</v>
      </c>
      <c r="C47" s="75" t="str">
        <f>IF('TEST PROTOCOL'!D24="", "", 'TEST PROTOCOL'!D24)</f>
        <v/>
      </c>
      <c r="D47" s="75"/>
      <c r="E47" s="77"/>
      <c r="F47" s="51"/>
      <c r="G47" s="69"/>
    </row>
    <row r="48" ht="21.0" customHeight="1">
      <c r="B48" s="69">
        <f t="shared" si="2"/>
        <v>17</v>
      </c>
      <c r="C48" s="52" t="str">
        <f>IF('TEST PROTOCOL'!E17="", "", 'TEST PROTOCOL'!E17)</f>
        <v/>
      </c>
      <c r="D48" s="75" t="str">
        <f>IF('RAW DATA'!D3="", "", 'RAW DATA'!D3)</f>
        <v/>
      </c>
      <c r="E48" s="77" t="str">
        <f t="shared" ref="E48:E49" si="7">IF(D48="", "", D48/$D$32)</f>
        <v/>
      </c>
      <c r="G48" s="69" t="str">
        <f t="shared" ref="G48:G49" si="8">IF(E48="", "", IF(E48&lt;0.8,"NEGATIVE", IF(E48&lt;1.1,"EQUIVOCAL","POSITIVE")))</f>
        <v/>
      </c>
    </row>
    <row r="49" ht="19.5" customHeight="1">
      <c r="B49" s="69">
        <f t="shared" si="2"/>
        <v>18</v>
      </c>
      <c r="C49" s="52" t="str">
        <f>IF('TEST PROTOCOL'!E18="", "", 'TEST PROTOCOL'!E18)</f>
        <v/>
      </c>
      <c r="D49" s="75" t="str">
        <f>IF('RAW DATA'!D4="", "", 'RAW DATA'!D4)</f>
        <v/>
      </c>
      <c r="E49" s="77" t="str">
        <f t="shared" si="7"/>
        <v/>
      </c>
      <c r="G49" s="69" t="str">
        <f t="shared" si="8"/>
        <v/>
      </c>
    </row>
    <row r="50" ht="15.75" customHeight="1">
      <c r="E50" s="85"/>
    </row>
    <row r="51" ht="15.75" customHeight="1">
      <c r="E51" s="85"/>
    </row>
    <row r="52" ht="15.75" customHeight="1">
      <c r="E52" s="85"/>
    </row>
    <row r="53" ht="15.75" customHeight="1">
      <c r="E53" s="85"/>
    </row>
    <row r="54" ht="15.75" customHeight="1">
      <c r="E54" s="85"/>
    </row>
    <row r="55" ht="15.75" customHeight="1">
      <c r="E55" s="85"/>
    </row>
    <row r="56" ht="15.75" customHeight="1">
      <c r="E56" s="85"/>
    </row>
    <row r="57" ht="15.75" customHeight="1">
      <c r="E57" s="85"/>
    </row>
    <row r="58" ht="15.75" customHeight="1">
      <c r="E58" s="85"/>
    </row>
    <row r="59" ht="15.75" customHeight="1">
      <c r="E59" s="85"/>
    </row>
    <row r="60" ht="15.75" customHeight="1">
      <c r="E60" s="85"/>
    </row>
    <row r="61" ht="15.75" customHeight="1">
      <c r="E61" s="85"/>
    </row>
    <row r="62" ht="15.75" customHeight="1">
      <c r="E62" s="85"/>
    </row>
    <row r="63" ht="15.75" customHeight="1">
      <c r="D63" s="86"/>
      <c r="E63" s="87"/>
    </row>
    <row r="64" ht="15.75" customHeight="1">
      <c r="D64" s="86"/>
      <c r="E64" s="87"/>
    </row>
    <row r="65" ht="15.75" customHeight="1">
      <c r="D65" s="86"/>
      <c r="E65" s="87"/>
    </row>
    <row r="66" ht="15.75" customHeight="1">
      <c r="D66" s="86"/>
      <c r="E66" s="87"/>
    </row>
    <row r="67" ht="15.75" customHeight="1">
      <c r="D67" s="86"/>
      <c r="E67" s="87"/>
    </row>
    <row r="68" ht="15.75" customHeight="1">
      <c r="D68" s="86"/>
      <c r="E68" s="86"/>
    </row>
    <row r="69" ht="15.75" customHeight="1">
      <c r="D69" s="86"/>
      <c r="E69" s="8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0">
    <mergeCell ref="A11:C11"/>
    <mergeCell ref="A12:C12"/>
    <mergeCell ref="F33:F35"/>
    <mergeCell ref="A1:G1"/>
    <mergeCell ref="A2:G2"/>
    <mergeCell ref="A3:G3"/>
    <mergeCell ref="A5:G5"/>
    <mergeCell ref="A6:G6"/>
    <mergeCell ref="A9:C9"/>
    <mergeCell ref="A10:B10"/>
  </mergeCells>
  <conditionalFormatting sqref="G32:G56">
    <cfRule type="containsText" dxfId="0" priority="1" operator="containsText" text="EQUIVOCAL">
      <formula>NOT(ISERROR(SEARCH(("EQUIVOCAL"),(G32))))</formula>
    </cfRule>
  </conditionalFormatting>
  <conditionalFormatting sqref="G32:G65">
    <cfRule type="containsText" dxfId="1" priority="2" operator="containsText" text="POSITIVE">
      <formula>NOT(ISERROR(SEARCH(("POSITIVE"),(G32))))</formula>
    </cfRule>
  </conditionalFormatting>
  <conditionalFormatting sqref="G32:G65">
    <cfRule type="containsText" dxfId="2" priority="3" operator="containsText" text="NEGATIVE">
      <formula>NOT(ISERROR(SEARCH(("NEGATIVE"),(G32))))</formula>
    </cfRule>
  </conditionalFormatting>
  <conditionalFormatting sqref="G44:G49">
    <cfRule type="containsText" dxfId="3" priority="4" operator="containsText" text="EQUIVOCAL">
      <formula>NOT(ISERROR(SEARCH(("EQUIVOCAL"),(G44))))</formula>
    </cfRule>
  </conditionalFormatting>
  <conditionalFormatting sqref="G44:G49">
    <cfRule type="containsText" dxfId="2" priority="5" operator="containsText" text="NEGATIVE">
      <formula>NOT(ISERROR(SEARCH(("NEGATIVE"),(G44))))</formula>
    </cfRule>
  </conditionalFormatting>
  <conditionalFormatting sqref="G44:G49">
    <cfRule type="containsText" dxfId="1" priority="6" operator="containsText" text="POSITIVE">
      <formula>NOT(ISERROR(SEARCH(("POSITIVE"),(G44))))</formula>
    </cfRule>
  </conditionalFormatting>
  <printOptions horizontalCentered="1"/>
  <pageMargins bottom="0.33822476735862567" footer="0.0" header="0.0" left="0.25" right="0.25" top="0.0"/>
  <pageSetup paperSize="9" orientation="portrait"/>
  <headerFooter>
    <oddHeader>&amp;L    </oddHeader>
  </headerFooter>
  <drawing r:id="rId1"/>
</worksheet>
</file>